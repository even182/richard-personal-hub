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BD61F16F-AA45-41EC-8A7A-A6E074E7A62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<sst xmlns="http://schemas.openxmlformats.org/spreadsheetml/2006/main" count="265" uniqueCount="183">
  <si>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</si>
  <si>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</si>
  <si>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</si>
  <si>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</si>
  <si>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</si>
  <si>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</si>
  <si>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</si>
  <si>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</si>
  <si>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</si>
  <si>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</si>
  <si>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</si>
  <si>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</si>
  <si>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</si>
  <si>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</si>
  <si>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</si>
  <si>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</si>
  <si>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</si>
  <si>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</si>
  <si>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</si>
  <si>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</si>
  <si>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</si>
  <si>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</si>
  <si>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</si>
  <si>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</si>
  <si>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</si>
  <si>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</si>
  <si>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</si>
  <si>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</si>
  <si>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</si>
  <si>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</si>
  <si>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</si>
  <si>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</si>
  <si>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</si>
  <si>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</si>
  <si>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</si>
  <si>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</si>
  <si>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</si>
  <si>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</si>
  <si>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</si>
  <si>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</si>
  <si>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</si>
  <si>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</si>
  <si>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</si>
  <si>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</si>
  <si>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</si>
  <si>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</si>
  <si>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</si>
  <si>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</si>
  <si>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</si>
  <si>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</si>
  <si>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Science</t>
  </si>
  <si>
    <t>BookTitle</t>
  </si>
  <si>
    <t>Author</t>
  </si>
  <si>
    <t>Rating</t>
  </si>
  <si>
    <t>Story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</si>
  <si>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</si>
  <si>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</si>
  <si>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</si>
  <si>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</si>
  <si>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</si>
  <si>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</si>
  <si>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</si>
  <si>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</si>
  <si>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</si>
  <si>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</si>
  <si>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</si>
  <si>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</si>
  <si>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</si>
  <si>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</si>
  <si>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</si>
  <si>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</si>
  <si>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</si>
  <si>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</si>
  <si>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</si>
  <si>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</si>
  <si>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</si>
  <si>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</si>
  <si>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</si>
  <si>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</si>
  <si>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</si>
  <si>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</si>
  <si>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</si>
  <si>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</si>
  <si>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Used in LearningTimeline.Category</t>
  </si>
  <si>
    <t>Award Category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</si>
  <si>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</si>
  <si>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</si>
  <si>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</si>
  <si>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</si>
  <si>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</si>
  <si>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</si>
  <si>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</si>
  <si>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</si>
  <si>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</si>
  <si>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</si>
  <si>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</si>
  <si>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</si>
  <si>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</si>
  <si>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</si>
  <si>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</si>
  <si>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</si>
  <si>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</si>
  <si>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</si>
  <si>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</si>
  <si>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Public-safe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</si>
  <si>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</si>
  <si>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</si>
  <si>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</si>
  <si>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</si>
  <si>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</si>
  <si>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</si>
  <si>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</si>
  <si>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</si>
  <si>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</si>
  <si>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</si>
  <si>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French</t>
  </si>
  <si>
    <t>DELF Prim A1.1 Certificate Presentation</t>
  </si>
  <si>
    <t>After passing the DELF Prim A1.1 French language examination in April 2026, Richard received his certificate from the president of Alliance Française de Taiwan on September 17, 2026.</t>
  </si>
  <si>
    <t>Performance</t>
  </si>
  <si>
    <t>I HAVE DREAM THE MUSICAL (夢想筆記本)</t>
  </si>
  <si>
    <t>Richard took part in “I HAVE DREAM THE MUSICAL (夢想筆記本),” a musical theatre performance presented by Hart Musical (哈特音樂劇坊). Through singing, acting, and stage movement, the experience offered opportunities to develop self-expression, confidence, and teamwork.</t>
  </si>
  <si>
    <t>https://heyzine.com/flip-book/9991bced10.html</t>
  </si>
  <si>
    <t>Marshall Cavendish Education (MCE)</t>
  </si>
  <si>
    <t>Richard earned a Silver Award in the SMC Regional Round. The competition encouraged him to think carefully, stay focused, and challenge himself in mathematics.</t>
  </si>
  <si>
    <t>Sports</t>
  </si>
  <si>
    <t>Boys' MVP</t>
  </si>
  <si>
    <t>Richard was named Boys' MVP at Horizon Field Day in recognition of his outstanding overall performance across the sporting events.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</si>
  <si>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</si>
  <si>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</si>
  <si>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</si>
  <si>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Standing Long Jump (G4 Boys)</t>
  </si>
  <si>
    <t>1st Place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</si>
  <si>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</si>
  <si>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</si>
  <si>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</si>
  <si>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</si>
  <si>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</si>
  <si>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Jump Rope (G4 Boys)</t>
  </si>
  <si>
    <t>Richard won first place in the Grade 4 boys' jump rope event at Horizon Field Day, demonstrating coordination, speed, and focus.</t>
  </si>
  <si>
    <t>Passed</t>
  </si>
  <si>
    <t>Alliance Française de Taiwan</t>
  </si>
  <si>
    <t>Richard passed the DELF Prim A1.1 French language examination in April 2026. On September 17, 2026, he received his certificate from the president of Alliance Française de Taiwan.</t>
  </si>
  <si>
    <t>The Last Bear</t>
  </si>
  <si>
    <t>Hannah Gold</t>
  </si>
  <si>
    <t>Reading, School Activity, Science, English, French, Math, Art, Music, Sports, Coding, Life Skill, Camp, Performance, Other</t>
  </si>
  <si>
    <t>English, French, Math, Art, Science, Sports, Music, School, Community, Other</t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</si>
  <si>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</si>
  <si>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</si>
  <si>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</si>
  <si>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</si>
  <si>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</si>
  <si>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</si>
  <si>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Flight Camp</t>
  </si>
  <si>
    <t>Richard participated in a flight camp that introduced the roles of pilots and cabin crew through hands-on training activities. The experience helped him understand aviation teamwork, safety, communication, and responsibility</t>
  </si>
  <si>
    <t>I enjoyed learning about pilots and cabin crew, and I discovered how teamwork and responsibility are important in aviation.</t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</si>
  <si>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</si>
  <si>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</si>
  <si>
    <t>The Explorer</t>
    <phoneticPr fontId="4" type="noConversion"/>
  </si>
  <si>
    <t>Katherine Rundell</t>
    <phoneticPr fontId="4" type="noConversion"/>
  </si>
  <si>
    <t>Story</t>
    <phoneticPr fontId="4" type="noConversion"/>
  </si>
  <si>
    <t>Wayside School</t>
    <phoneticPr fontId="4" type="noConversion"/>
  </si>
  <si>
    <t>Louis Sachar</t>
    <phoneticPr fontId="4" type="noConversion"/>
  </si>
  <si>
    <t>The Wild Robot</t>
    <phoneticPr fontId="4" type="noConversion"/>
  </si>
  <si>
    <t>Peter Brown</t>
    <phoneticPr fontId="4" type="noConversion"/>
  </si>
  <si>
    <t>The Wild Robot Escapes</t>
    <phoneticPr fontId="4" type="noConversion"/>
  </si>
  <si>
    <t>05_The_Last_Bear.jpg</t>
    <phoneticPr fontId="4" type="noConversion"/>
  </si>
  <si>
    <t>01_The_Explorer.jpg</t>
    <phoneticPr fontId="4" type="noConversion"/>
  </si>
  <si>
    <t>02_Wayside_School.jpg</t>
    <phoneticPr fontId="4" type="noConversion"/>
  </si>
  <si>
    <t>03_The_Wild_Robot.jpg</t>
    <phoneticPr fontId="4" type="noConversion"/>
  </si>
  <si>
    <t>04_The_Wild_Robot Escapes.jpg</t>
    <phoneticPr fontId="4" type="noConversion"/>
  </si>
  <si>
    <t>Image</t>
    <phoneticPr fontId="4" type="noConversion"/>
  </si>
  <si>
    <t>20261025_Performance.jpg</t>
    <phoneticPr fontId="4" type="noConversion"/>
  </si>
  <si>
    <t>MATH KANGAROO TAIWAN</t>
    <phoneticPr fontId="4" type="noConversion"/>
  </si>
  <si>
    <t>SMC Regional Round</t>
    <phoneticPr fontId="4" type="noConversion"/>
  </si>
  <si>
    <t>2026_SMC_Regional_Round.jpg</t>
    <phoneticPr fontId="4" type="noConversion"/>
  </si>
  <si>
    <t>Horizon Field Day – Boys' MVP</t>
    <phoneticPr fontId="4" type="noConversion"/>
  </si>
  <si>
    <t>2026_Horizon_Field_Day.jpg</t>
    <phoneticPr fontId="4" type="noConversion"/>
  </si>
  <si>
    <t>2026_Math_Kangaroo.jpg</t>
    <phoneticPr fontId="4" type="noConversion"/>
  </si>
  <si>
    <t>DELF Prim A1.1 French Language Examination</t>
    <phoneticPr fontId="4" type="noConversion"/>
  </si>
  <si>
    <t>2026_FEI_DELF_Prim_CMJN.jpg</t>
    <phoneticPr fontId="4" type="noConversion"/>
  </si>
  <si>
    <r>
      <rPr>
        <sz val="11"/>
        <rFont val="微軟正黑體"/>
        <family val="2"/>
        <charset val="136"/>
      </rPr>
      <t>第</t>
    </r>
    <r>
      <rPr>
        <sz val="11"/>
        <rFont val="Arial"/>
        <family val="2"/>
      </rPr>
      <t>63</t>
    </r>
    <r>
      <rPr>
        <sz val="11"/>
        <rFont val="微軟正黑體"/>
        <family val="2"/>
        <charset val="136"/>
      </rPr>
      <t>屆</t>
    </r>
    <r>
      <rPr>
        <sz val="11"/>
        <rFont val="Arial"/>
        <family val="2"/>
      </rPr>
      <t xml:space="preserve"> </t>
    </r>
    <r>
      <rPr>
        <sz val="11"/>
        <rFont val="微軟正黑體"/>
        <family val="2"/>
        <charset val="136"/>
      </rPr>
      <t>奧林匹克數理競賽</t>
    </r>
    <phoneticPr fontId="4" type="noConversion"/>
  </si>
  <si>
    <t>2026_WOLPC.jpg</t>
    <phoneticPr fontId="4" type="noConversion"/>
  </si>
  <si>
    <t>International Joint Schools Mathematics Competition (IJSMC)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</si>
</sst>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Arial"/>
      <family val="2"/>
    </font>
    <font>
      <sz val="11"/>
      <name val="Carlito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  <xf numFmtId="0" fontId="7" fillId="0" borderId="0" xfId="1" applyFont="1" applyAlignment="1">
      <alignment vertical="top" wrapText="1"/>
    </xf>
  </cellXfs>
  <cellStyles count="2">
    <cellStyle name="Normal" xfId="1" xr:uid="{00000000-0005-0000-0000-000000000000}"/>
    <cellStyle name="一般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176" formatCode="yyyy\-mm\-dd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8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2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3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6" dataDxfId="9" dataCellStyle="Normal">
  <tableColumns count="9">
    <tableColumn id="1" xr3:uid="{00000000-0010-0000-0400-000001000000}" name="Date" dataDxfId="8" dataCellStyle="Normal"/>
    <tableColumn id="2" xr3:uid="{00000000-0010-0000-0400-000002000000}" name="Year" dataDxfId="7" dataCellStyle="Normal"/>
    <tableColumn id="3" xr3:uid="{00000000-0010-0000-0400-000003000000}" name="BookTitle" dataDxfId="6" dataCellStyle="Normal"/>
    <tableColumn id="4" xr3:uid="{00000000-0010-0000-0400-000004000000}" name="Author" dataDxfId="5" dataCellStyle="Normal"/>
    <tableColumn id="5" xr3:uid="{00000000-0010-0000-0400-000005000000}" name="Category" dataDxfId="4" dataCellStyle="Normal"/>
    <tableColumn id="6" xr3:uid="{00000000-0010-0000-0400-000006000000}" name="Reflection" dataDxfId="3" dataCellStyle="Normal"/>
    <tableColumn id="7" xr3:uid="{00000000-0010-0000-0400-000007000000}" name="Rating" dataDxfId="2" dataCellStyle="Normal"/>
    <tableColumn id="8" xr3:uid="{00000000-0010-0000-0400-000008000000}" name="Image" dataDxfId="1" dataCellStyle="Normal"/>
    <tableColumn id="9" xr3:uid="{00000000-0010-0000-0400-000009000000}" name="Link" dataDxfId="0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>
      <selection activeCell="F15" sqref="F15"/>
    </sheetView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170</v>
      </c>
      <c r="H1" s="9" t="s">
        <v>25</v>
      </c>
      <c r="I1" s="9" t="s">
        <v>26</v>
      </c>
      <c r="J1" s="9" t="s">
        <v>27</v>
      </c>
    </row>
    <row r="2" spans="1:10" ht="57">
      <c r="A2" s="6">
        <v>45887</v>
      </c>
      <c r="B2" s="8">
        <v>2025</v>
      </c>
      <c r="C2" s="10" t="s">
        <v>105</v>
      </c>
      <c r="D2" s="10" t="s">
        <v>146</v>
      </c>
      <c r="E2" s="10" t="s">
        <v>147</v>
      </c>
      <c r="F2" s="10" t="s">
        <v>148</v>
      </c>
      <c r="G2" s="10"/>
      <c r="H2" s="10"/>
      <c r="I2" s="10" t="s">
        <v>35</v>
      </c>
      <c r="J2" s="10" t="s">
        <v>104</v>
      </c>
    </row>
    <row r="3" spans="1:10" ht="57">
      <c r="A3" s="6">
        <v>45999</v>
      </c>
      <c r="B3" s="8">
        <v>2025</v>
      </c>
      <c r="C3" s="10" t="s">
        <v>105</v>
      </c>
      <c r="D3" s="10" t="s">
        <v>149</v>
      </c>
      <c r="E3" s="10" t="s">
        <v>150</v>
      </c>
      <c r="F3" s="10" t="s">
        <v>151</v>
      </c>
      <c r="G3" s="10"/>
      <c r="H3" s="10"/>
      <c r="I3" s="10" t="s">
        <v>35</v>
      </c>
      <c r="J3" s="10" t="s">
        <v>104</v>
      </c>
    </row>
    <row r="4" spans="1:10" ht="57">
      <c r="A4" s="6">
        <v>46006</v>
      </c>
      <c r="B4" s="8">
        <v>2025</v>
      </c>
      <c r="C4" s="10" t="s">
        <v>105</v>
      </c>
      <c r="D4" s="10" t="s">
        <v>152</v>
      </c>
      <c r="E4" s="10" t="s">
        <v>153</v>
      </c>
      <c r="F4" s="10" t="s">
        <v>154</v>
      </c>
      <c r="G4" s="10"/>
      <c r="H4" s="10"/>
      <c r="I4" s="10" t="s">
        <v>35</v>
      </c>
      <c r="J4" s="10" t="s">
        <v>104</v>
      </c>
    </row>
    <row r="5" spans="1:10" ht="57">
      <c r="A5" s="6">
        <v>46146</v>
      </c>
      <c r="B5" s="8">
        <v>2026</v>
      </c>
      <c r="C5" s="10" t="s">
        <v>105</v>
      </c>
      <c r="D5" s="10" t="s">
        <v>106</v>
      </c>
      <c r="E5" s="10" t="s">
        <v>107</v>
      </c>
      <c r="F5" s="10" t="s">
        <v>108</v>
      </c>
      <c r="G5" s="10"/>
      <c r="H5" s="10"/>
      <c r="I5" s="10" t="s">
        <v>35</v>
      </c>
      <c r="J5" s="10" t="s">
        <v>104</v>
      </c>
    </row>
    <row r="6" spans="1:10" ht="42.75">
      <c r="A6" s="6">
        <v>46125</v>
      </c>
      <c r="B6" s="8">
        <v>2026</v>
      </c>
      <c r="C6" s="10" t="s">
        <v>105</v>
      </c>
      <c r="D6" s="10" t="s">
        <v>109</v>
      </c>
      <c r="E6" s="10" t="s">
        <v>110</v>
      </c>
      <c r="F6" s="10" t="s">
        <v>111</v>
      </c>
      <c r="G6" s="10"/>
      <c r="H6" s="10"/>
      <c r="I6" s="10" t="s">
        <v>35</v>
      </c>
      <c r="J6" s="10" t="s">
        <v>104</v>
      </c>
    </row>
    <row r="7" spans="1:10">
      <c r="A7" s="6">
        <v>46124</v>
      </c>
      <c r="B7" s="8">
        <v>2026</v>
      </c>
      <c r="C7" s="10" t="s">
        <v>50</v>
      </c>
      <c r="D7" s="10" t="s">
        <v>112</v>
      </c>
      <c r="E7" s="10" t="s">
        <v>113</v>
      </c>
      <c r="F7" s="10" t="s">
        <v>114</v>
      </c>
      <c r="G7" s="10"/>
      <c r="H7" s="10"/>
      <c r="I7" s="10" t="s">
        <v>35</v>
      </c>
      <c r="J7" s="10" t="s">
        <v>104</v>
      </c>
    </row>
    <row r="8" spans="1:10" ht="42.75">
      <c r="A8" s="6">
        <v>46282</v>
      </c>
      <c r="B8" s="8">
        <v>2026</v>
      </c>
      <c r="C8" s="10" t="s">
        <v>115</v>
      </c>
      <c r="D8" s="10" t="s">
        <v>116</v>
      </c>
      <c r="E8" s="10" t="s">
        <v>117</v>
      </c>
      <c r="F8" s="10"/>
      <c r="G8" s="10"/>
      <c r="H8" s="10"/>
      <c r="I8" s="10" t="s">
        <v>35</v>
      </c>
      <c r="J8" s="10" t="s">
        <v>104</v>
      </c>
    </row>
    <row r="9" spans="1:10" ht="57">
      <c r="A9" s="11">
        <v>46320</v>
      </c>
      <c r="B9" s="12">
        <v>2026</v>
      </c>
      <c r="C9" s="13" t="s">
        <v>118</v>
      </c>
      <c r="D9" s="13" t="s">
        <v>119</v>
      </c>
      <c r="E9" s="13" t="s">
        <v>120</v>
      </c>
      <c r="F9" s="13"/>
      <c r="G9" s="13" t="s">
        <v>171</v>
      </c>
      <c r="H9" s="13" t="s">
        <v>121</v>
      </c>
      <c r="I9" s="13" t="s">
        <v>35</v>
      </c>
      <c r="J9" s="13" t="s">
        <v>104</v>
      </c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10:C200 C2:C9" xr:uid="{00000000-0002-0000-0100-000000000000}">
      <formula1>"Reading,School Activity,Science,English,Math,Art,Music,Sports,Coding,Life Skill,Other"</formula1>
    </dataValidation>
    <dataValidation type="list" sqref="I10:I200 I2:I9" xr:uid="{00000000-0002-0000-0100-000001000000}">
      <formula1>"Yes,No"</formula1>
    </dataValidation>
    <dataValidation type="list" sqref="J10:J200 J2:J9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tabSelected="1" workbookViewId="0">
      <selection activeCell="G8" sqref="G8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182</v>
      </c>
      <c r="E2" s="4" t="s">
        <v>32</v>
      </c>
      <c r="F2" s="4" t="s">
        <v>33</v>
      </c>
      <c r="G2" s="4" t="s">
        <v>34</v>
      </c>
      <c r="H2" s="4"/>
      <c r="I2" s="4"/>
      <c r="J2" s="4" t="s">
        <v>35</v>
      </c>
    </row>
    <row r="3" spans="1:10" ht="42.75">
      <c r="A3" s="5">
        <v>46110</v>
      </c>
      <c r="B3" s="4">
        <v>2026</v>
      </c>
      <c r="C3" s="4" t="s">
        <v>31</v>
      </c>
      <c r="D3" s="4" t="s">
        <v>172</v>
      </c>
      <c r="E3" s="4" t="s">
        <v>36</v>
      </c>
      <c r="F3" s="4" t="s">
        <v>37</v>
      </c>
      <c r="G3" s="4" t="s">
        <v>38</v>
      </c>
      <c r="H3" s="4" t="s">
        <v>177</v>
      </c>
      <c r="I3" s="4"/>
      <c r="J3" s="4" t="s">
        <v>35</v>
      </c>
    </row>
    <row r="4" spans="1:10" ht="71.25">
      <c r="A4" s="5">
        <v>46131</v>
      </c>
      <c r="B4" s="4">
        <v>2026</v>
      </c>
      <c r="C4" s="4" t="s">
        <v>31</v>
      </c>
      <c r="D4" s="16" t="s">
        <v>180</v>
      </c>
      <c r="E4" s="4" t="s">
        <v>39</v>
      </c>
      <c r="F4" s="4" t="s">
        <v>40</v>
      </c>
      <c r="G4" s="4" t="s">
        <v>41</v>
      </c>
      <c r="H4" s="4" t="s">
        <v>181</v>
      </c>
      <c r="I4" s="4"/>
      <c r="J4" s="4" t="s">
        <v>35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173</v>
      </c>
      <c r="E5" s="4" t="s">
        <v>36</v>
      </c>
      <c r="F5" s="4" t="s">
        <v>122</v>
      </c>
      <c r="G5" s="10" t="s">
        <v>123</v>
      </c>
      <c r="H5" s="4" t="s">
        <v>174</v>
      </c>
      <c r="I5" s="4"/>
      <c r="J5" s="4" t="s">
        <v>35</v>
      </c>
    </row>
    <row r="6" spans="1:10" ht="54" customHeight="1">
      <c r="A6" s="7">
        <v>46312</v>
      </c>
      <c r="B6">
        <v>2026</v>
      </c>
      <c r="C6" t="s">
        <v>124</v>
      </c>
      <c r="D6" s="13" t="s">
        <v>175</v>
      </c>
      <c r="E6" t="s">
        <v>125</v>
      </c>
      <c r="G6" s="13" t="s">
        <v>126</v>
      </c>
      <c r="H6" t="s">
        <v>176</v>
      </c>
      <c r="J6" t="s">
        <v>35</v>
      </c>
    </row>
    <row r="7" spans="1:10" ht="54" customHeight="1">
      <c r="A7" s="7">
        <v>46312</v>
      </c>
      <c r="B7">
        <v>2026</v>
      </c>
      <c r="C7" t="s">
        <v>124</v>
      </c>
      <c r="D7" s="13" t="s">
        <v>127</v>
      </c>
      <c r="E7" t="s">
        <v>128</v>
      </c>
      <c r="G7" s="13" t="s">
        <v>129</v>
      </c>
      <c r="H7" t="s">
        <v>176</v>
      </c>
      <c r="J7" t="s">
        <v>35</v>
      </c>
    </row>
    <row r="8" spans="1:10" ht="54" customHeight="1">
      <c r="A8" s="7">
        <v>46312</v>
      </c>
      <c r="B8">
        <v>2026</v>
      </c>
      <c r="C8" t="s">
        <v>124</v>
      </c>
      <c r="D8" s="13" t="s">
        <v>130</v>
      </c>
      <c r="E8" t="s">
        <v>131</v>
      </c>
      <c r="G8" s="13" t="s">
        <v>132</v>
      </c>
      <c r="H8" t="s">
        <v>176</v>
      </c>
      <c r="J8" t="s">
        <v>35</v>
      </c>
    </row>
    <row r="9" spans="1:10" ht="54" customHeight="1">
      <c r="A9" s="7">
        <v>46312</v>
      </c>
      <c r="B9">
        <v>2026</v>
      </c>
      <c r="C9" t="s">
        <v>124</v>
      </c>
      <c r="D9" s="13" t="s">
        <v>133</v>
      </c>
      <c r="E9" t="s">
        <v>131</v>
      </c>
      <c r="G9" s="13" t="s">
        <v>134</v>
      </c>
      <c r="H9" t="s">
        <v>176</v>
      </c>
      <c r="J9" t="s">
        <v>35</v>
      </c>
    </row>
    <row r="10" spans="1:10" ht="54" customHeight="1">
      <c r="A10" s="7">
        <v>46312</v>
      </c>
      <c r="B10">
        <v>2026</v>
      </c>
      <c r="C10" t="s">
        <v>124</v>
      </c>
      <c r="D10" s="13" t="s">
        <v>135</v>
      </c>
      <c r="E10" t="s">
        <v>131</v>
      </c>
      <c r="G10" s="13" t="s">
        <v>136</v>
      </c>
      <c r="H10" t="s">
        <v>176</v>
      </c>
      <c r="J10" t="s">
        <v>35</v>
      </c>
    </row>
    <row r="11" spans="1:10" ht="54" customHeight="1">
      <c r="A11" s="7">
        <v>46312</v>
      </c>
      <c r="B11">
        <v>2026</v>
      </c>
      <c r="C11" t="s">
        <v>124</v>
      </c>
      <c r="D11" s="13" t="s">
        <v>137</v>
      </c>
      <c r="E11" t="s">
        <v>131</v>
      </c>
      <c r="G11" s="13" t="s">
        <v>138</v>
      </c>
      <c r="H11" t="s">
        <v>176</v>
      </c>
      <c r="J11" t="s">
        <v>35</v>
      </c>
    </row>
    <row r="12" spans="1:10" ht="57">
      <c r="A12" s="7">
        <v>46282</v>
      </c>
      <c r="B12">
        <v>2026</v>
      </c>
      <c r="C12" t="s">
        <v>115</v>
      </c>
      <c r="D12" s="13" t="s">
        <v>178</v>
      </c>
      <c r="E12" t="s">
        <v>139</v>
      </c>
      <c r="F12" t="s">
        <v>140</v>
      </c>
      <c r="G12" s="13" t="s">
        <v>141</v>
      </c>
      <c r="H12" t="s">
        <v>179</v>
      </c>
      <c r="J12" t="s">
        <v>35</v>
      </c>
    </row>
  </sheetData>
  <phoneticPr fontId="4" type="noConversion"/>
  <dataValidations count="2">
    <dataValidation type="list" sqref="C2:C200" xr:uid="{00000000-0002-0000-0200-000000000000}">
      <formula1>"English,Math,Art,Science,Sports,Music,School,Community,Other"</formula1>
    </dataValidation>
    <dataValidation type="list" sqref="J2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workbookViewId="0">
      <selection activeCell="A4" sqref="A4:XFD4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42</v>
      </c>
      <c r="E1" s="2" t="s">
        <v>22</v>
      </c>
      <c r="F1" s="2" t="s">
        <v>43</v>
      </c>
      <c r="G1" s="2" t="s">
        <v>24</v>
      </c>
      <c r="H1" s="2" t="s">
        <v>44</v>
      </c>
      <c r="I1" s="2" t="s">
        <v>25</v>
      </c>
      <c r="J1" s="2" t="s">
        <v>26</v>
      </c>
    </row>
    <row r="2" spans="1:10" ht="71.25">
      <c r="A2" s="5">
        <v>46121</v>
      </c>
      <c r="B2" s="4">
        <v>2026</v>
      </c>
      <c r="C2" s="4" t="s">
        <v>50</v>
      </c>
      <c r="D2" s="4" t="s">
        <v>155</v>
      </c>
      <c r="E2" s="4" t="s">
        <v>156</v>
      </c>
      <c r="F2" s="4"/>
      <c r="G2" s="4" t="s">
        <v>49</v>
      </c>
      <c r="H2" s="4"/>
      <c r="I2" s="4"/>
      <c r="J2" s="4" t="s">
        <v>35</v>
      </c>
    </row>
    <row r="3" spans="1:10" ht="28.5">
      <c r="A3" s="5">
        <v>46181</v>
      </c>
      <c r="B3" s="4">
        <v>2026</v>
      </c>
      <c r="C3" s="4" t="s">
        <v>45</v>
      </c>
      <c r="D3" s="4" t="s">
        <v>46</v>
      </c>
      <c r="E3" s="4" t="s">
        <v>47</v>
      </c>
      <c r="F3" s="4" t="s">
        <v>48</v>
      </c>
      <c r="G3" s="4"/>
      <c r="H3" s="4"/>
      <c r="I3" s="4"/>
      <c r="J3" s="4" t="s">
        <v>35</v>
      </c>
    </row>
  </sheetData>
  <phoneticPr fontId="4" type="noConversion"/>
  <dataValidations count="2">
    <dataValidation type="list" sqref="C2:C199" xr:uid="{00000000-0002-0000-0300-000000000000}">
      <formula1>"Coding,Art,Science,Writing,Music,Video,Presentation,Other"</formula1>
    </dataValidation>
    <dataValidation type="list" sqref="J2:J199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selection activeCell="F17" sqref="F16:F17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51</v>
      </c>
      <c r="D1" s="2" t="s">
        <v>52</v>
      </c>
      <c r="E1" s="2" t="s">
        <v>21</v>
      </c>
      <c r="F1" s="2" t="s">
        <v>23</v>
      </c>
      <c r="G1" s="2" t="s">
        <v>53</v>
      </c>
      <c r="H1" s="2" t="s">
        <v>24</v>
      </c>
      <c r="I1" s="2" t="s">
        <v>25</v>
      </c>
    </row>
    <row r="2" spans="1:9">
      <c r="A2" s="5">
        <v>45908</v>
      </c>
      <c r="B2" s="4">
        <v>2025</v>
      </c>
      <c r="C2" s="4" t="s">
        <v>157</v>
      </c>
      <c r="D2" s="4" t="s">
        <v>158</v>
      </c>
      <c r="E2" s="4" t="s">
        <v>159</v>
      </c>
      <c r="F2" s="4"/>
      <c r="G2" s="4">
        <v>5</v>
      </c>
      <c r="H2" s="4" t="s">
        <v>166</v>
      </c>
      <c r="I2" s="4"/>
    </row>
    <row r="3" spans="1:9">
      <c r="A3" s="5">
        <v>45658</v>
      </c>
      <c r="B3" s="4">
        <v>2025</v>
      </c>
      <c r="C3" s="4" t="s">
        <v>160</v>
      </c>
      <c r="D3" s="4" t="s">
        <v>161</v>
      </c>
      <c r="E3" s="4" t="s">
        <v>159</v>
      </c>
      <c r="F3" s="4"/>
      <c r="G3" s="4">
        <v>5</v>
      </c>
      <c r="H3" s="4" t="s">
        <v>167</v>
      </c>
      <c r="I3" s="4"/>
    </row>
    <row r="4" spans="1:9">
      <c r="A4" s="5">
        <v>46027</v>
      </c>
      <c r="B4" s="4">
        <v>2026</v>
      </c>
      <c r="C4" s="4" t="s">
        <v>162</v>
      </c>
      <c r="D4" s="4" t="s">
        <v>163</v>
      </c>
      <c r="E4" s="4" t="s">
        <v>159</v>
      </c>
      <c r="F4" s="4"/>
      <c r="G4" s="4">
        <v>5</v>
      </c>
      <c r="H4" s="4" t="s">
        <v>168</v>
      </c>
      <c r="I4" s="4"/>
    </row>
    <row r="5" spans="1:9" ht="28.5">
      <c r="A5" s="5">
        <v>46153</v>
      </c>
      <c r="B5" s="4">
        <v>2026</v>
      </c>
      <c r="C5" s="4" t="s">
        <v>164</v>
      </c>
      <c r="D5" s="4" t="s">
        <v>163</v>
      </c>
      <c r="E5" s="4" t="s">
        <v>159</v>
      </c>
      <c r="F5" s="4"/>
      <c r="G5" s="4">
        <v>5</v>
      </c>
      <c r="H5" s="4" t="s">
        <v>169</v>
      </c>
      <c r="I5" s="4"/>
    </row>
    <row r="6" spans="1:9">
      <c r="A6" s="5">
        <v>46267</v>
      </c>
      <c r="B6" s="4">
        <v>2026</v>
      </c>
      <c r="C6" s="4" t="s">
        <v>142</v>
      </c>
      <c r="D6" s="4" t="s">
        <v>143</v>
      </c>
      <c r="E6" s="4" t="s">
        <v>54</v>
      </c>
      <c r="F6" s="4"/>
      <c r="G6" s="4">
        <v>5</v>
      </c>
      <c r="H6" s="4" t="s">
        <v>165</v>
      </c>
      <c r="I6" s="4"/>
    </row>
  </sheetData>
  <phoneticPr fontId="4" type="noConversion"/>
  <dataValidations count="1">
    <dataValidation type="list" sqref="G2:G201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55</v>
      </c>
      <c r="C1" s="2" t="s">
        <v>31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61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62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63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64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spans="1:7" ht="28.5">
      <c r="A2" s="4">
        <v>2026</v>
      </c>
      <c r="B2" s="4" t="s">
        <v>70</v>
      </c>
      <c r="C2" s="4" t="s">
        <v>46</v>
      </c>
      <c r="D2" s="4" t="s">
        <v>71</v>
      </c>
      <c r="E2" s="4" t="s">
        <v>72</v>
      </c>
      <c r="F2" s="4" t="s">
        <v>73</v>
      </c>
      <c r="G2" s="4" t="s">
        <v>74</v>
      </c>
    </row>
    <row r="3" spans="1:7">
      <c r="A3" s="4">
        <v>2025</v>
      </c>
      <c r="B3" s="4" t="s">
        <v>75</v>
      </c>
      <c r="C3" s="4" t="s">
        <v>76</v>
      </c>
      <c r="D3" s="4" t="s">
        <v>77</v>
      </c>
      <c r="E3" s="4" t="s">
        <v>78</v>
      </c>
      <c r="F3" s="4" t="s">
        <v>79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80</v>
      </c>
      <c r="C1" s="2" t="s">
        <v>81</v>
      </c>
    </row>
    <row r="2" spans="1:3" ht="28.5">
      <c r="A2" s="4" t="s">
        <v>82</v>
      </c>
      <c r="B2" s="4" t="s">
        <v>144</v>
      </c>
      <c r="C2" s="4" t="s">
        <v>83</v>
      </c>
    </row>
    <row r="3" spans="1:3" ht="28.5">
      <c r="A3" s="4" t="s">
        <v>84</v>
      </c>
      <c r="B3" s="4" t="s">
        <v>145</v>
      </c>
      <c r="C3" s="4" t="s">
        <v>85</v>
      </c>
    </row>
    <row r="4" spans="1:3">
      <c r="A4" s="4" t="s">
        <v>86</v>
      </c>
      <c r="B4" s="4" t="s">
        <v>87</v>
      </c>
      <c r="C4" s="4" t="s">
        <v>88</v>
      </c>
    </row>
    <row r="5" spans="1:3">
      <c r="A5" s="4" t="s">
        <v>26</v>
      </c>
      <c r="B5" s="4" t="s">
        <v>89</v>
      </c>
      <c r="C5" s="4" t="s">
        <v>90</v>
      </c>
    </row>
    <row r="6" spans="1:3">
      <c r="A6" s="4" t="s">
        <v>27</v>
      </c>
      <c r="B6" s="4" t="s">
        <v>91</v>
      </c>
      <c r="C6" s="4" t="s">
        <v>92</v>
      </c>
    </row>
    <row r="7" spans="1:3">
      <c r="A7" s="4" t="s">
        <v>53</v>
      </c>
      <c r="B7" s="4" t="s">
        <v>93</v>
      </c>
      <c r="C7" s="4" t="s">
        <v>94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sqref="A1:F1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95</v>
      </c>
      <c r="B1" s="15"/>
      <c r="C1" s="15"/>
      <c r="D1" s="15"/>
      <c r="E1" s="15"/>
      <c r="F1" s="15"/>
    </row>
    <row r="3" spans="1:6" ht="15">
      <c r="A3" s="1" t="s">
        <v>96</v>
      </c>
      <c r="B3" s="1" t="s">
        <v>97</v>
      </c>
    </row>
    <row r="4" spans="1:6">
      <c r="A4" s="3" t="s">
        <v>98</v>
      </c>
      <c r="B4" s="3">
        <f>COUNTA(LearningTimeline!D2:D200)</f>
        <v>8</v>
      </c>
    </row>
    <row r="5" spans="1:6">
      <c r="A5" s="3" t="s">
        <v>99</v>
      </c>
      <c r="B5" s="3">
        <f>COUNTIF(LearningTimeline!I2:I200,"Yes")</f>
        <v>8</v>
      </c>
    </row>
    <row r="6" spans="1:6">
      <c r="A6" s="3" t="s">
        <v>100</v>
      </c>
      <c r="B6" s="3">
        <f>COUNTA(Awards!D2:D200)</f>
        <v>11</v>
      </c>
    </row>
    <row r="7" spans="1:6">
      <c r="A7" s="3" t="s">
        <v>101</v>
      </c>
      <c r="B7" s="3">
        <f>COUNTA(Projects!D2:D199)</f>
        <v>2</v>
      </c>
    </row>
    <row r="8" spans="1:6">
      <c r="A8" s="3" t="s">
        <v>102</v>
      </c>
      <c r="B8" s="3">
        <f>COUNTA(ReadingLog!C2:C201)</f>
        <v>5</v>
      </c>
    </row>
    <row r="9" spans="1:6">
      <c r="A9" s="3" t="s">
        <v>103</v>
      </c>
      <c r="B9" s="3">
        <f>IFERROR(AVERAGE(ReadingLog!G2:G201),0)</f>
        <v>5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2026-10-29T13:00:50Z</dcterms:modified>
</cp:coreProperties>
</file>