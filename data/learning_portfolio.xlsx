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D:\88_YuHui\Streamlit\Richard_streamlit\data\"/>
    </mc:Choice>
  </mc:AlternateContent>
  <xr:revisionPtr revIDLastSave="0" documentId="13_ncr:1_{4B80FA55-8D65-4A5A-8A89-E8C3D830E17C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Profile" sheetId="1" r:id="rId1"/>
    <sheet name="LearningTimeline" sheetId="2" r:id="rId2"/>
    <sheet name="Awards" sheetId="3" r:id="rId3"/>
    <sheet name="Projects" sheetId="4" r:id="rId4"/>
    <sheet name="ReadingLog" sheetId="5" r:id="rId5"/>
    <sheet name="SkillGrowth" sheetId="6" r:id="rId6"/>
    <sheet name="YearlyReview" sheetId="7" r:id="rId7"/>
    <sheet name="Settings" sheetId="8" r:id="rId8"/>
    <sheet name="Dashboard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9" l="1"/>
  <c r="B8" i="9"/>
  <c r="B7" i="9"/>
  <c r="B6" i="9"/>
  <c r="B5" i="9"/>
  <c r="B4" i="9"/>
</calcChain>
</file>

<file path=xl/sharedStrings.xml><?xml version="1.0" encoding="utf-8"?>
<sst xmlns="http://schemas.openxmlformats.org/spreadsheetml/2006/main" count="194" uniqueCount="142">
  <si>
    <t>Field</t>
  </si>
  <si>
    <t>Value</t>
  </si>
  <si>
    <t>DisplayName</t>
  </si>
  <si>
    <t>Richard</t>
  </si>
  <si>
    <t>Title</t>
  </si>
  <si>
    <t>Richard's Learning Journey</t>
  </si>
  <si>
    <t>Tagline</t>
  </si>
  <si>
    <t>Learning, Projects, and Awards</t>
  </si>
  <si>
    <t>CurrentGrade</t>
  </si>
  <si>
    <t>Interests</t>
  </si>
  <si>
    <t>Reading, Science, Drawing, English</t>
  </si>
  <si>
    <t>Intro</t>
  </si>
  <si>
    <t>HeroImage</t>
  </si>
  <si>
    <t>profile_avatar.png</t>
  </si>
  <si>
    <t>PrivacyNote</t>
  </si>
  <si>
    <t>LastUpdated</t>
  </si>
  <si>
    <t>Date</t>
  </si>
  <si>
    <t>Year</t>
  </si>
  <si>
    <t>Category</t>
  </si>
  <si>
    <t>Description</t>
  </si>
  <si>
    <t>Reflection</t>
  </si>
  <si>
    <t>Image</t>
  </si>
  <si>
    <t>Link</t>
  </si>
  <si>
    <t>Featured</t>
  </si>
  <si>
    <t>Privacy</t>
  </si>
  <si>
    <t>Reading</t>
  </si>
  <si>
    <t>Yes</t>
  </si>
  <si>
    <t>Public-safe</t>
  </si>
  <si>
    <t>Science</t>
  </si>
  <si>
    <t>AwardName</t>
  </si>
  <si>
    <t>AwardLevel</t>
  </si>
  <si>
    <t>English</t>
  </si>
  <si>
    <t>award_001.jpg</t>
  </si>
  <si>
    <t>award_002.jpg</t>
  </si>
  <si>
    <t>ProjectName</t>
  </si>
  <si>
    <t>Tools</t>
  </si>
  <si>
    <t>VideoLink</t>
  </si>
  <si>
    <t>Scratch Fruit Catcher Game</t>
  </si>
  <si>
    <t>project_001.jpg</t>
  </si>
  <si>
    <t>BookTitle</t>
  </si>
  <si>
    <t>Rating</t>
  </si>
  <si>
    <t>book_002.jpg</t>
  </si>
  <si>
    <t>Math</t>
  </si>
  <si>
    <t>Expression</t>
  </si>
  <si>
    <t>SelfLearning</t>
  </si>
  <si>
    <t>Creativity</t>
  </si>
  <si>
    <t>Notes</t>
  </si>
  <si>
    <t>Started building regular reading habits.</t>
  </si>
  <si>
    <t>More confident in sharing ideas and completing projects.</t>
  </si>
  <si>
    <t>Shows stronger curiosity, expression, and independent learning.</t>
  </si>
  <si>
    <t>MostImportantProgress</t>
  </si>
  <si>
    <t>FavoriteProject</t>
  </si>
  <si>
    <t>ImportantAwards</t>
  </si>
  <si>
    <t>NextYearGoals</t>
  </si>
  <si>
    <t>Summary</t>
  </si>
  <si>
    <t>CoverImage</t>
  </si>
  <si>
    <t>More confident speaking and presenting in front of others.</t>
  </si>
  <si>
    <t>English Reading Contest - Second Place</t>
  </si>
  <si>
    <t>Read more English books and complete two science projects.</t>
  </si>
  <si>
    <t>A year of steady growth in reading, expression, and creativity.</t>
  </si>
  <si>
    <t>review_2026.jpg</t>
  </si>
  <si>
    <t>Built a stronger reading routine.</t>
  </si>
  <si>
    <t>Animal Drawing Project</t>
  </si>
  <si>
    <t>Creative Drawing Challenge - Excellent Work</t>
  </si>
  <si>
    <t>Practice English speaking and keep a weekly reading log.</t>
  </si>
  <si>
    <t>A year of building habits and discovering interests.</t>
  </si>
  <si>
    <t>AllowedValues</t>
  </si>
  <si>
    <t>Usage</t>
  </si>
  <si>
    <t>Learning Category</t>
  </si>
  <si>
    <t>Reading, School Activity, Science, English, Math, Art, Music, Sports, Coding, Life Skill, Other</t>
  </si>
  <si>
    <t>Used in LearningTimeline.Category</t>
  </si>
  <si>
    <t>Award Category</t>
  </si>
  <si>
    <t>English, Math, Art, Science, Sports, Music, School, Community, Other</t>
  </si>
  <si>
    <t>Used in Awards.Category</t>
  </si>
  <si>
    <t>Project Category</t>
  </si>
  <si>
    <t>Coding, Art, Science, Writing, Music, Video, Presentation, Other</t>
  </si>
  <si>
    <t>Used in Projects.Category</t>
  </si>
  <si>
    <t>Yes, No</t>
  </si>
  <si>
    <t>Show item on the home page</t>
  </si>
  <si>
    <t>Public-safe, Private</t>
  </si>
  <si>
    <t>Use Public-safe for items that can be shared</t>
  </si>
  <si>
    <t>1, 2, 3, 4, 5</t>
  </si>
  <si>
    <t>ReadingLog.Rating</t>
  </si>
  <si>
    <t>Richard's Learning Journey - Data Dashboard</t>
  </si>
  <si>
    <t>Metric</t>
  </si>
  <si>
    <t>Formula</t>
  </si>
  <si>
    <t>Total Learning Records</t>
  </si>
  <si>
    <t>Featured Learning Records</t>
  </si>
  <si>
    <t>Total Awards</t>
  </si>
  <si>
    <t>Total Projects</t>
  </si>
  <si>
    <t>Total Books</t>
  </si>
  <si>
    <t>Average Reading Rating</t>
  </si>
  <si>
    <t>MATH KANGAROO TAIWAN</t>
    <phoneticPr fontId="4" type="noConversion"/>
  </si>
  <si>
    <t>Association Kangourou sans Frontières</t>
    <phoneticPr fontId="4" type="noConversion"/>
  </si>
  <si>
    <t>SMC Regional Round</t>
    <phoneticPr fontId="4" type="noConversion"/>
  </si>
  <si>
    <t>Silver</t>
    <phoneticPr fontId="4" type="noConversion"/>
  </si>
  <si>
    <t>Organizer</t>
    <phoneticPr fontId="4" type="noConversion"/>
  </si>
  <si>
    <t>Marshall Cavendish Education (MCE)</t>
    <phoneticPr fontId="4" type="noConversion"/>
  </si>
  <si>
    <t>Description</t>
    <phoneticPr fontId="4" type="noConversion"/>
  </si>
  <si>
    <t>Richard participated in Math Kangaroo Taiwan and earned a Silver Award. This experience helped him build confidence in mathematical thinking and problem-solving.</t>
    <phoneticPr fontId="4" type="noConversion"/>
  </si>
  <si>
    <t>Richard earned a Silver Award in the SMC Regional Round. The competition encouraged him to think carefully, stay focused, and challenge himself in mathematics.</t>
    <phoneticPr fontId="4" type="noConversion"/>
  </si>
  <si>
    <t>第63屆 奧林匹克數理競賽</t>
    <phoneticPr fontId="4" type="noConversion"/>
  </si>
  <si>
    <t>金卓越銀獎</t>
    <phoneticPr fontId="4" type="noConversion"/>
  </si>
  <si>
    <t>中華數學協會</t>
    <phoneticPr fontId="4" type="noConversion"/>
  </si>
  <si>
    <t>Asian Gifted Education Association</t>
    <phoneticPr fontId="4" type="noConversion"/>
  </si>
  <si>
    <t>TOP TALENT AWARD</t>
    <phoneticPr fontId="4" type="noConversion"/>
  </si>
  <si>
    <t>International Joint Schools Mathematics Competition (IJSMC)</t>
    <phoneticPr fontId="4" type="noConversion"/>
  </si>
  <si>
    <t>Richard joined the International Joint Schools Mathematics Competition and received the Top Talent Award. This experience encouraged him to think deeply, solve problems with confidence, and enjoy mathematical challenges.</t>
    <phoneticPr fontId="4" type="noConversion"/>
  </si>
  <si>
    <t>Richard participated in the 63rd Olympic Mathematics and Science Competition and received the Gold Excellence Silver Award. The experience helped him build focus, patience, and confidence in mathematical problem-solving.</t>
    <phoneticPr fontId="4" type="noConversion"/>
  </si>
  <si>
    <t>Musical Theatre Camp</t>
  </si>
  <si>
    <t>Camp</t>
  </si>
  <si>
    <t>Richard participated in a musical theatre camp and explored singing, movement, acting, and stage expression. The experience helped him build confidence, creativity, teamwork, and presentation skills.</t>
  </si>
  <si>
    <t>I enjoyed expressing myself through music, movement, and performance.</t>
  </si>
  <si>
    <t>Mario Detective &amp; Coin-Earning Little Boss Camp</t>
  </si>
  <si>
    <t>Richard joined a playful camp that combined detective-style problem solving with money-themed activities. The experience helped him practice observation, logical thinking, decision-making, and basic financial awareness.</t>
  </si>
  <si>
    <t>I practiced solving clues, making choices, and learning how to think like a little boss.</t>
  </si>
  <si>
    <t>Elementary School Student</t>
    <phoneticPr fontId="4" type="noConversion"/>
  </si>
  <si>
    <t>This portfolio records Richard's learning journey, including his awards, camps, projects, reading, and yearly growth.</t>
    <phoneticPr fontId="4" type="noConversion"/>
  </si>
  <si>
    <t>This website uses a nickname only and avoids sharing personal information such as school name, class, address, or birthday.</t>
    <phoneticPr fontId="4" type="noConversion"/>
  </si>
  <si>
    <t>The Wild Robot Escapes</t>
    <phoneticPr fontId="4" type="noConversion"/>
  </si>
  <si>
    <t>book_003.jpg</t>
    <phoneticPr fontId="4" type="noConversion"/>
  </si>
  <si>
    <t>Peter Brown</t>
    <phoneticPr fontId="4" type="noConversion"/>
  </si>
  <si>
    <t>Story</t>
    <phoneticPr fontId="4" type="noConversion"/>
  </si>
  <si>
    <t>Wayside School</t>
    <phoneticPr fontId="4" type="noConversion"/>
  </si>
  <si>
    <t>Author</t>
    <phoneticPr fontId="4" type="noConversion"/>
  </si>
  <si>
    <t>Louis Sachar</t>
    <phoneticPr fontId="4" type="noConversion"/>
  </si>
  <si>
    <t>book_001.jpg</t>
    <phoneticPr fontId="4" type="noConversion"/>
  </si>
  <si>
    <t>The Wild Robot</t>
    <phoneticPr fontId="4" type="noConversion"/>
  </si>
  <si>
    <t>The Explorer</t>
    <phoneticPr fontId="4" type="noConversion"/>
  </si>
  <si>
    <t>book_004.jpg</t>
    <phoneticPr fontId="4" type="noConversion"/>
  </si>
  <si>
    <t>Katherine Rundell</t>
    <phoneticPr fontId="4" type="noConversion"/>
  </si>
  <si>
    <t>A Star Multi Sport Camp</t>
  </si>
  <si>
    <t>Richard participated in a multi-sport camp and experienced different physical activities through games, teamwork, and practice. The camp helped him develop coordination, confidence, sportsmanship, and perseverance.</t>
  </si>
  <si>
    <t>I tried different sports, practiced with others, and learned to keep going even when the activities were challenging.</t>
  </si>
  <si>
    <t>Film Camp</t>
  </si>
  <si>
    <t>Richard joined a film camp and explored storytelling, acting, camera work, and creative expression. The experience helped him develop imagination, communication skills, teamwork, and confidence in presenting ideas.</t>
  </si>
  <si>
    <t>I enjoyed creating stories, acting with others, and learning how ideas can become a film.</t>
  </si>
  <si>
    <t>Flight Camp</t>
    <phoneticPr fontId="4" type="noConversion"/>
  </si>
  <si>
    <t>Richard participated in a flight camp that introduced the roles of pilots and cabin crew through hands-on training activities. The experience helped him understand aviation teamwork, safety, communication, and responsibility</t>
    <phoneticPr fontId="4" type="noConversion"/>
  </si>
  <si>
    <t>I enjoyed learning about pilots and cabin crew, and I discovered how teamwork and responsibility are important in aviation.</t>
    <phoneticPr fontId="4" type="noConversion"/>
  </si>
  <si>
    <t xml:space="preserve"> City Building, Energy, and Creativity</t>
    <phoneticPr fontId="4" type="noConversion"/>
  </si>
  <si>
    <t>Richard designed and built a creative city model with roads, railways, buildings, wind turbines, and solar panels. Through this project, he explored how a city works and learned about renewable energy, transportation, planning, and teamwork.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</si>
</sst>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5">
    <font>
      <sz val="11"/>
      <name val="Carlito"/>
    </font>
    <font>
      <b/>
      <sz val="11"/>
      <color rgb="FFFFFFFF"/>
      <name val="Carlito"/>
    </font>
    <font>
      <b/>
      <sz val="16"/>
      <color rgb="FF4A4A4A"/>
      <name val="Carlito"/>
    </font>
    <font>
      <sz val="11"/>
      <name val="Carlito"/>
    </font>
    <font>
      <sz val="9"/>
      <name val="細明體"/>
      <family val="3"/>
      <charset val="136"/>
    </font>
  </fonts>
  <fills count="4">
    <fill>
      <patternFill patternType="none"/>
    </fill>
    <fill>
      <patternFill patternType="gray125"/>
    </fill>
    <fill>
      <patternFill patternType="solid">
        <fgColor rgb="FF6B8F71"/>
      </patternFill>
    </fill>
    <fill>
      <patternFill patternType="solid">
        <fgColor rgb="FFF2E8CF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13">
    <xf numFmtId="0" fontId="0" fillId="0" borderId="0" xfId="0"/>
    <xf numFmtId="0" fontId="1" fillId="2" borderId="0" xfId="1" applyFont="1" applyFill="1" applyAlignment="1">
      <alignment horizontal="center" wrapText="1"/>
    </xf>
    <xf numFmtId="0" fontId="1" fillId="2" borderId="0" xfId="1" applyFont="1" applyFill="1" applyAlignment="1">
      <alignment horizontal="center" vertical="center" wrapText="1"/>
    </xf>
    <xf numFmtId="0" fontId="0" fillId="0" borderId="0" xfId="1" applyFont="1" applyAlignment="1">
      <alignment wrapText="1"/>
    </xf>
    <xf numFmtId="0" fontId="0" fillId="0" borderId="0" xfId="1" applyFont="1" applyAlignment="1">
      <alignment vertical="top" wrapText="1"/>
    </xf>
    <xf numFmtId="176" fontId="0" fillId="0" borderId="0" xfId="1" applyNumberFormat="1" applyFont="1" applyAlignment="1">
      <alignment vertical="top" wrapText="1"/>
    </xf>
    <xf numFmtId="176" fontId="0" fillId="0" borderId="0" xfId="0" applyNumberFormat="1" applyAlignment="1">
      <alignment vertical="top" wrapText="1"/>
    </xf>
    <xf numFmtId="1" fontId="0" fillId="0" borderId="0" xfId="0" applyNumberFormat="1" applyAlignment="1">
      <alignment vertical="top" wrapText="1"/>
    </xf>
    <xf numFmtId="0" fontId="0" fillId="0" borderId="0" xfId="0" applyAlignment="1">
      <alignment vertical="top" wrapText="1"/>
    </xf>
    <xf numFmtId="0" fontId="2" fillId="3" borderId="0" xfId="1" applyFont="1" applyFill="1" applyAlignment="1">
      <alignment horizontal="center" vertical="center"/>
    </xf>
    <xf numFmtId="0" fontId="0" fillId="0" borderId="0" xfId="0"/>
    <xf numFmtId="14" fontId="0" fillId="0" borderId="0" xfId="0" applyNumberFormat="1" applyAlignment="1">
      <alignment wrapText="1"/>
    </xf>
    <xf numFmtId="0" fontId="0" fillId="0" borderId="0" xfId="0" applyAlignment="1">
      <alignment wrapText="1"/>
    </xf>
  </cellXfs>
  <cellStyles count="2">
    <cellStyle name="Normal" xfId="1" xr:uid="{00000000-0005-0000-0000-000000000000}"/>
    <cellStyle name="一般" xfId="0" builtinId="0"/>
  </cellStyles>
  <dxfs count="13">
    <dxf>
      <alignment horizontal="general" vertical="top" textRotation="0" wrapText="1" indent="0" justifyLastLine="0" shrinkToFit="0" readingOrder="0"/>
    </dxf>
    <dxf>
      <alignment textRotation="0" wrapText="1" justifyLastLine="0" shrinkToFit="0" readingOrder="0"/>
    </dxf>
    <dxf>
      <alignment horizontal="general" vertical="top" textRotation="0" wrapText="1" indent="0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rofileTable" displayName="ProfileTable" ref="A1:B10">
  <tableColumns count="2">
    <tableColumn id="1" xr3:uid="{00000000-0010-0000-0000-000001000000}" name="Field"/>
    <tableColumn id="2" xr3:uid="{00000000-0010-0000-0000-000002000000}" name="Valu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LearningTimelineTable" displayName="LearningTimelineTable" ref="A1:J6" headerRowDxfId="6" dataDxfId="4" totalsRowDxfId="5">
  <tableColumns count="10">
    <tableColumn id="1" xr3:uid="{00000000-0010-0000-0100-000001000000}" name="Date" dataDxfId="12"/>
    <tableColumn id="2" xr3:uid="{00000000-0010-0000-0100-000002000000}" name="Year" dataDxfId="11"/>
    <tableColumn id="3" xr3:uid="{00000000-0010-0000-0100-000003000000}" name="Category" dataDxfId="10"/>
    <tableColumn id="4" xr3:uid="{00000000-0010-0000-0100-000004000000}" name="Title" dataDxfId="3"/>
    <tableColumn id="5" xr3:uid="{00000000-0010-0000-0100-000005000000}" name="Description" dataDxfId="2"/>
    <tableColumn id="6" xr3:uid="{00000000-0010-0000-0100-000006000000}" name="Reflection" dataDxfId="0"/>
    <tableColumn id="7" xr3:uid="{00000000-0010-0000-0100-000007000000}" name="Image" dataDxfId="1"/>
    <tableColumn id="8" xr3:uid="{00000000-0010-0000-0100-000008000000}" name="Link" dataDxfId="9"/>
    <tableColumn id="9" xr3:uid="{00000000-0010-0000-0100-000009000000}" name="Featured" dataDxfId="8"/>
    <tableColumn id="10" xr3:uid="{00000000-0010-0000-0100-00000A000000}" name="Privacy" dataDxfId="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AwardsTable" displayName="AwardsTable" ref="A1:J4">
  <tableColumns count="10">
    <tableColumn id="1" xr3:uid="{00000000-0010-0000-0200-000001000000}" name="Date"/>
    <tableColumn id="2" xr3:uid="{00000000-0010-0000-0200-000002000000}" name="Year"/>
    <tableColumn id="3" xr3:uid="{00000000-0010-0000-0200-000003000000}" name="Category"/>
    <tableColumn id="4" xr3:uid="{00000000-0010-0000-0200-000004000000}" name="AwardName"/>
    <tableColumn id="5" xr3:uid="{00000000-0010-0000-0200-000005000000}" name="AwardLevel"/>
    <tableColumn id="6" xr3:uid="{00000000-0010-0000-0200-000006000000}" name="Organizer"/>
    <tableColumn id="7" xr3:uid="{00000000-0010-0000-0200-000007000000}" name="Description"/>
    <tableColumn id="8" xr3:uid="{00000000-0010-0000-0200-000008000000}" name="Image"/>
    <tableColumn id="9" xr3:uid="{00000000-0010-0000-0200-000009000000}" name="Link"/>
    <tableColumn id="10" xr3:uid="{00000000-0010-0000-0200-00000A000000}" name="Feature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ProjectsTable" displayName="ProjectsTable" ref="A1:J4">
  <tableColumns count="10">
    <tableColumn id="1" xr3:uid="{00000000-0010-0000-0300-000001000000}" name="Date"/>
    <tableColumn id="2" xr3:uid="{00000000-0010-0000-0300-000002000000}" name="Year"/>
    <tableColumn id="3" xr3:uid="{00000000-0010-0000-0300-000003000000}" name="Category"/>
    <tableColumn id="4" xr3:uid="{00000000-0010-0000-0300-000004000000}" name="ProjectName"/>
    <tableColumn id="5" xr3:uid="{00000000-0010-0000-0300-000005000000}" name="Description"/>
    <tableColumn id="6" xr3:uid="{00000000-0010-0000-0300-000006000000}" name="Tools"/>
    <tableColumn id="7" xr3:uid="{00000000-0010-0000-0300-000007000000}" name="Image"/>
    <tableColumn id="8" xr3:uid="{00000000-0010-0000-0300-000008000000}" name="VideoLink"/>
    <tableColumn id="9" xr3:uid="{00000000-0010-0000-0300-000009000000}" name="Link"/>
    <tableColumn id="10" xr3:uid="{00000000-0010-0000-0300-00000A000000}" name="Featured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ReadingLogTable" displayName="ReadingLogTable" ref="A1:I5">
  <tableColumns count="9">
    <tableColumn id="1" xr3:uid="{00000000-0010-0000-0400-000001000000}" name="Date"/>
    <tableColumn id="2" xr3:uid="{00000000-0010-0000-0400-000002000000}" name="Year"/>
    <tableColumn id="3" xr3:uid="{00000000-0010-0000-0400-000003000000}" name="BookTitle"/>
    <tableColumn id="4" xr3:uid="{00000000-0010-0000-0400-000004000000}" name="Author"/>
    <tableColumn id="5" xr3:uid="{00000000-0010-0000-0400-000005000000}" name="Category"/>
    <tableColumn id="6" xr3:uid="{00000000-0010-0000-0400-000006000000}" name="Reflection"/>
    <tableColumn id="7" xr3:uid="{00000000-0010-0000-0400-000007000000}" name="Rating"/>
    <tableColumn id="8" xr3:uid="{00000000-0010-0000-0400-000008000000}" name="Image"/>
    <tableColumn id="9" xr3:uid="{00000000-0010-0000-0400-000009000000}" name="Link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SkillGrowthTable" displayName="SkillGrowthTable" ref="A1:H4">
  <tableColumns count="8">
    <tableColumn id="1" xr3:uid="{00000000-0010-0000-0500-000001000000}" name="Year"/>
    <tableColumn id="2" xr3:uid="{00000000-0010-0000-0500-000002000000}" name="English"/>
    <tableColumn id="3" xr3:uid="{00000000-0010-0000-0500-000003000000}" name="Math"/>
    <tableColumn id="4" xr3:uid="{00000000-0010-0000-0500-000004000000}" name="Reading"/>
    <tableColumn id="5" xr3:uid="{00000000-0010-0000-0500-000005000000}" name="Expression"/>
    <tableColumn id="6" xr3:uid="{00000000-0010-0000-0500-000006000000}" name="SelfLearning"/>
    <tableColumn id="7" xr3:uid="{00000000-0010-0000-0500-000007000000}" name="Creativity"/>
    <tableColumn id="8" xr3:uid="{00000000-0010-0000-0500-000008000000}" name="Not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YearlyReviewTable" displayName="YearlyReviewTable" ref="A1:G3">
  <tableColumns count="7">
    <tableColumn id="1" xr3:uid="{00000000-0010-0000-0600-000001000000}" name="Year"/>
    <tableColumn id="2" xr3:uid="{00000000-0010-0000-0600-000002000000}" name="MostImportantProgress"/>
    <tableColumn id="3" xr3:uid="{00000000-0010-0000-0600-000003000000}" name="FavoriteProject"/>
    <tableColumn id="4" xr3:uid="{00000000-0010-0000-0600-000004000000}" name="ImportantAwards"/>
    <tableColumn id="5" xr3:uid="{00000000-0010-0000-0600-000005000000}" name="NextYearGoals"/>
    <tableColumn id="6" xr3:uid="{00000000-0010-0000-0600-000006000000}" name="Summary"/>
    <tableColumn id="7" xr3:uid="{00000000-0010-0000-0600-000007000000}" name="CoverImag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SettingsTable" displayName="SettingsTable" ref="A1:C7">
  <tableColumns count="3">
    <tableColumn id="1" xr3:uid="{00000000-0010-0000-0700-000001000000}" name="Category"/>
    <tableColumn id="2" xr3:uid="{00000000-0010-0000-0700-000002000000}" name="AllowedValues"/>
    <tableColumn id="3" xr3:uid="{00000000-0010-0000-0700-000003000000}" name="Usag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"/>
  <sheetViews>
    <sheetView workbookViewId="0">
      <selection activeCell="B19" sqref="B19"/>
    </sheetView>
  </sheetViews>
  <sheetFormatPr defaultRowHeight="14.25"/>
  <cols>
    <col min="1" max="1" width="20" customWidth="1"/>
    <col min="2" max="2" width="70" customWidth="1"/>
  </cols>
  <sheetData>
    <row r="1" spans="1:2" ht="15">
      <c r="A1" s="2" t="s">
        <v>0</v>
      </c>
      <c r="B1" s="2" t="s">
        <v>1</v>
      </c>
    </row>
    <row r="2" spans="1:2">
      <c r="A2" s="4" t="s">
        <v>2</v>
      </c>
      <c r="B2" s="5" t="s">
        <v>3</v>
      </c>
    </row>
    <row r="3" spans="1:2">
      <c r="A3" s="4" t="s">
        <v>4</v>
      </c>
      <c r="B3" s="5" t="s">
        <v>5</v>
      </c>
    </row>
    <row r="4" spans="1:2">
      <c r="A4" s="4" t="s">
        <v>6</v>
      </c>
      <c r="B4" s="5" t="s">
        <v>7</v>
      </c>
    </row>
    <row r="5" spans="1:2">
      <c r="A5" s="4" t="s">
        <v>8</v>
      </c>
      <c r="B5" s="5" t="s">
        <v>116</v>
      </c>
    </row>
    <row r="6" spans="1:2">
      <c r="A6" s="4" t="s">
        <v>9</v>
      </c>
      <c r="B6" s="5" t="s">
        <v>10</v>
      </c>
    </row>
    <row r="7" spans="1:2" ht="28.5">
      <c r="A7" s="4" t="s">
        <v>11</v>
      </c>
      <c r="B7" s="5" t="s">
        <v>117</v>
      </c>
    </row>
    <row r="8" spans="1:2">
      <c r="A8" s="4" t="s">
        <v>12</v>
      </c>
      <c r="B8" s="5" t="s">
        <v>13</v>
      </c>
    </row>
    <row r="9" spans="1:2" ht="28.5">
      <c r="A9" s="4" t="s">
        <v>14</v>
      </c>
      <c r="B9" s="5" t="s">
        <v>118</v>
      </c>
    </row>
    <row r="10" spans="1:2">
      <c r="A10" s="4" t="s">
        <v>15</v>
      </c>
      <c r="B10" s="5">
        <v>46189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6"/>
  <sheetViews>
    <sheetView workbookViewId="0">
      <selection activeCell="I5" sqref="I5"/>
    </sheetView>
  </sheetViews>
  <sheetFormatPr defaultRowHeight="14.25"/>
  <cols>
    <col min="1" max="1" width="13" style="12" customWidth="1"/>
    <col min="2" max="2" width="10" style="12" customWidth="1"/>
    <col min="3" max="3" width="18" style="12" customWidth="1"/>
    <col min="4" max="4" width="28" style="12" customWidth="1"/>
    <col min="5" max="6" width="42" style="12" customWidth="1"/>
    <col min="7" max="7" width="22" style="12" customWidth="1"/>
    <col min="8" max="8" width="30" style="12" customWidth="1"/>
    <col min="9" max="9" width="12" style="12" customWidth="1"/>
    <col min="10" max="10" width="18" style="12" customWidth="1"/>
  </cols>
  <sheetData>
    <row r="1" spans="1:10" ht="15">
      <c r="A1" s="2" t="s">
        <v>16</v>
      </c>
      <c r="B1" s="2" t="s">
        <v>17</v>
      </c>
      <c r="C1" s="2" t="s">
        <v>18</v>
      </c>
      <c r="D1" s="2" t="s">
        <v>4</v>
      </c>
      <c r="E1" s="2" t="s">
        <v>19</v>
      </c>
      <c r="F1" s="2" t="s">
        <v>20</v>
      </c>
      <c r="G1" s="2" t="s">
        <v>21</v>
      </c>
      <c r="H1" s="2" t="s">
        <v>22</v>
      </c>
      <c r="I1" s="2" t="s">
        <v>23</v>
      </c>
      <c r="J1" s="2" t="s">
        <v>24</v>
      </c>
    </row>
    <row r="2" spans="1:10" ht="71.25">
      <c r="A2" s="6">
        <v>46125</v>
      </c>
      <c r="B2" s="7">
        <v>2026</v>
      </c>
      <c r="C2" s="8" t="s">
        <v>110</v>
      </c>
      <c r="D2" s="8" t="s">
        <v>109</v>
      </c>
      <c r="E2" s="8" t="s">
        <v>111</v>
      </c>
      <c r="F2" s="8" t="s">
        <v>112</v>
      </c>
      <c r="G2" s="8"/>
      <c r="H2" s="8"/>
      <c r="I2" s="8" t="s">
        <v>26</v>
      </c>
      <c r="J2" s="8" t="s">
        <v>27</v>
      </c>
    </row>
    <row r="3" spans="1:10" ht="71.25">
      <c r="A3" s="6">
        <v>46146</v>
      </c>
      <c r="B3" s="7">
        <v>2026</v>
      </c>
      <c r="C3" s="8" t="s">
        <v>110</v>
      </c>
      <c r="D3" s="8" t="s">
        <v>113</v>
      </c>
      <c r="E3" s="8" t="s">
        <v>114</v>
      </c>
      <c r="F3" s="8" t="s">
        <v>115</v>
      </c>
      <c r="G3" s="8"/>
      <c r="H3" s="8"/>
      <c r="I3" s="8" t="s">
        <v>26</v>
      </c>
      <c r="J3" s="8" t="s">
        <v>27</v>
      </c>
    </row>
    <row r="4" spans="1:10" ht="85.5">
      <c r="A4" s="5">
        <v>46006</v>
      </c>
      <c r="B4" s="4">
        <v>2025</v>
      </c>
      <c r="C4" s="4" t="s">
        <v>110</v>
      </c>
      <c r="D4" s="4" t="s">
        <v>137</v>
      </c>
      <c r="E4" s="4" t="s">
        <v>138</v>
      </c>
      <c r="F4" s="4" t="s">
        <v>139</v>
      </c>
      <c r="G4" s="4"/>
      <c r="H4" s="4"/>
      <c r="I4" s="4" t="s">
        <v>26</v>
      </c>
      <c r="J4" s="4" t="s">
        <v>27</v>
      </c>
    </row>
    <row r="5" spans="1:10" ht="71.25">
      <c r="A5" s="11">
        <v>45999</v>
      </c>
      <c r="B5" s="12">
        <v>2025</v>
      </c>
      <c r="C5" s="12" t="s">
        <v>110</v>
      </c>
      <c r="D5" s="12" t="s">
        <v>131</v>
      </c>
      <c r="E5" s="8" t="s">
        <v>132</v>
      </c>
      <c r="F5" s="8" t="s">
        <v>133</v>
      </c>
      <c r="I5" s="12" t="s">
        <v>26</v>
      </c>
      <c r="J5" s="12" t="s">
        <v>27</v>
      </c>
    </row>
    <row r="6" spans="1:10" ht="71.25">
      <c r="A6" s="11">
        <v>45887</v>
      </c>
      <c r="B6" s="12">
        <v>2025</v>
      </c>
      <c r="C6" s="12" t="s">
        <v>110</v>
      </c>
      <c r="D6" s="12" t="s">
        <v>134</v>
      </c>
      <c r="E6" s="8" t="s">
        <v>135</v>
      </c>
      <c r="F6" s="8" t="s">
        <v>136</v>
      </c>
      <c r="I6" s="12" t="s">
        <v>26</v>
      </c>
      <c r="J6" s="12" t="s">
        <v>27</v>
      </c>
    </row>
  </sheetData>
  <phoneticPr fontId="4" type="noConversion"/>
  <dataValidations count="3">
    <dataValidation type="list" sqref="C2:C200" xr:uid="{00000000-0002-0000-0100-000000000000}">
      <formula1>"Reading,School Activity,Science,English,Math,Art,Music,Sports,Coding,Life Skill,Other"</formula1>
    </dataValidation>
    <dataValidation type="list" sqref="I2:I200" xr:uid="{00000000-0002-0000-0100-000001000000}">
      <formula1>"Yes,No"</formula1>
    </dataValidation>
    <dataValidation type="list" sqref="J2:J200" xr:uid="{00000000-0002-0000-0100-000002000000}">
      <formula1>"Public-safe,Private"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5"/>
  <sheetViews>
    <sheetView workbookViewId="0">
      <selection activeCell="D11" sqref="D11"/>
    </sheetView>
  </sheetViews>
  <sheetFormatPr defaultRowHeight="14.25"/>
  <cols>
    <col min="1" max="1" width="13" customWidth="1"/>
    <col min="2" max="2" width="10" customWidth="1"/>
    <col min="3" max="3" width="18" customWidth="1"/>
    <col min="4" max="4" width="32" customWidth="1"/>
    <col min="5" max="5" width="22" customWidth="1"/>
    <col min="6" max="6" width="24" customWidth="1"/>
    <col min="7" max="7" width="48" customWidth="1"/>
    <col min="8" max="8" width="22" customWidth="1"/>
    <col min="9" max="9" width="30" customWidth="1"/>
    <col min="10" max="10" width="12" customWidth="1"/>
  </cols>
  <sheetData>
    <row r="1" spans="1:10" ht="15">
      <c r="A1" s="2" t="s">
        <v>16</v>
      </c>
      <c r="B1" s="2" t="s">
        <v>17</v>
      </c>
      <c r="C1" s="2" t="s">
        <v>18</v>
      </c>
      <c r="D1" s="2" t="s">
        <v>29</v>
      </c>
      <c r="E1" s="2" t="s">
        <v>30</v>
      </c>
      <c r="F1" s="2" t="s">
        <v>96</v>
      </c>
      <c r="G1" s="2" t="s">
        <v>98</v>
      </c>
      <c r="H1" s="2" t="s">
        <v>21</v>
      </c>
      <c r="I1" s="2" t="s">
        <v>22</v>
      </c>
      <c r="J1" s="2" t="s">
        <v>23</v>
      </c>
    </row>
    <row r="2" spans="1:10" ht="71.25">
      <c r="A2" s="5">
        <v>46036</v>
      </c>
      <c r="B2" s="4">
        <v>2026</v>
      </c>
      <c r="C2" s="4" t="s">
        <v>42</v>
      </c>
      <c r="D2" s="4" t="s">
        <v>106</v>
      </c>
      <c r="E2" s="4" t="s">
        <v>105</v>
      </c>
      <c r="F2" s="4" t="s">
        <v>104</v>
      </c>
      <c r="G2" s="4" t="s">
        <v>107</v>
      </c>
      <c r="H2" s="4"/>
      <c r="I2" s="4"/>
      <c r="J2" s="4" t="s">
        <v>26</v>
      </c>
    </row>
    <row r="3" spans="1:10" ht="42.75">
      <c r="A3" s="5">
        <v>46110</v>
      </c>
      <c r="B3" s="4">
        <v>2026</v>
      </c>
      <c r="C3" s="4" t="s">
        <v>42</v>
      </c>
      <c r="D3" s="4" t="s">
        <v>92</v>
      </c>
      <c r="E3" s="4" t="s">
        <v>95</v>
      </c>
      <c r="F3" s="4" t="s">
        <v>93</v>
      </c>
      <c r="G3" s="4" t="s">
        <v>99</v>
      </c>
      <c r="H3" s="4" t="s">
        <v>32</v>
      </c>
      <c r="I3" s="4"/>
      <c r="J3" s="4" t="s">
        <v>26</v>
      </c>
    </row>
    <row r="4" spans="1:10" ht="71.25">
      <c r="A4" s="5">
        <v>46131</v>
      </c>
      <c r="B4" s="4">
        <v>2026</v>
      </c>
      <c r="C4" s="4" t="s">
        <v>42</v>
      </c>
      <c r="D4" s="4" t="s">
        <v>101</v>
      </c>
      <c r="E4" s="4" t="s">
        <v>102</v>
      </c>
      <c r="F4" s="4" t="s">
        <v>103</v>
      </c>
      <c r="G4" s="4" t="s">
        <v>108</v>
      </c>
      <c r="H4" s="4"/>
      <c r="I4" s="4"/>
      <c r="J4" s="4" t="s">
        <v>26</v>
      </c>
    </row>
    <row r="5" spans="1:10" ht="42.75">
      <c r="A5" s="5">
        <v>46145</v>
      </c>
      <c r="B5" s="4">
        <v>2026</v>
      </c>
      <c r="C5" s="4" t="s">
        <v>42</v>
      </c>
      <c r="D5" s="4" t="s">
        <v>94</v>
      </c>
      <c r="E5" s="4" t="s">
        <v>95</v>
      </c>
      <c r="F5" s="4" t="s">
        <v>97</v>
      </c>
      <c r="G5" s="4" t="s">
        <v>100</v>
      </c>
      <c r="H5" s="4" t="s">
        <v>33</v>
      </c>
      <c r="I5" s="4"/>
      <c r="J5" s="4" t="s">
        <v>26</v>
      </c>
    </row>
  </sheetData>
  <phoneticPr fontId="4" type="noConversion"/>
  <dataValidations count="2">
    <dataValidation type="list" sqref="C2 C3:C200" xr:uid="{00000000-0002-0000-0200-000000000000}">
      <formula1>"English,Math,Art,Science,Sports,Music,School,Community,Other"</formula1>
    </dataValidation>
    <dataValidation type="list" sqref="J2 J3:J200" xr:uid="{00000000-0002-0000-0200-000001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4"/>
  <sheetViews>
    <sheetView tabSelected="1" workbookViewId="0">
      <selection activeCell="E27" sqref="E27"/>
    </sheetView>
  </sheetViews>
  <sheetFormatPr defaultRowHeight="14.25"/>
  <cols>
    <col min="1" max="1" width="13" customWidth="1"/>
    <col min="2" max="2" width="10" customWidth="1"/>
    <col min="3" max="3" width="18" customWidth="1"/>
    <col min="4" max="4" width="32" customWidth="1"/>
    <col min="5" max="5" width="48" customWidth="1"/>
    <col min="6" max="7" width="22" customWidth="1"/>
    <col min="8" max="9" width="30" customWidth="1"/>
    <col min="10" max="10" width="12" customWidth="1"/>
  </cols>
  <sheetData>
    <row r="1" spans="1:10" ht="15">
      <c r="A1" s="2" t="s">
        <v>16</v>
      </c>
      <c r="B1" s="2" t="s">
        <v>17</v>
      </c>
      <c r="C1" s="2" t="s">
        <v>18</v>
      </c>
      <c r="D1" s="2" t="s">
        <v>34</v>
      </c>
      <c r="E1" s="2" t="s">
        <v>19</v>
      </c>
      <c r="F1" s="2" t="s">
        <v>35</v>
      </c>
      <c r="G1" s="2" t="s">
        <v>21</v>
      </c>
      <c r="H1" s="2" t="s">
        <v>36</v>
      </c>
      <c r="I1" s="2" t="s">
        <v>22</v>
      </c>
      <c r="J1" s="2" t="s">
        <v>23</v>
      </c>
    </row>
    <row r="2" spans="1:10">
      <c r="A2" s="5">
        <v>46121</v>
      </c>
      <c r="B2" s="4">
        <v>2026</v>
      </c>
      <c r="C2" s="4" t="s">
        <v>28</v>
      </c>
      <c r="D2" s="4" t="s">
        <v>140</v>
      </c>
      <c r="E2" s="4" t="s">
        <v>141</v>
      </c>
      <c r="F2" s="4"/>
      <c r="G2" s="4" t="s">
        <v>38</v>
      </c>
      <c r="H2" s="4"/>
      <c r="I2" s="4"/>
      <c r="J2" s="4" t="s">
        <v>26</v>
      </c>
    </row>
    <row r="3" spans="1:10">
      <c r="A3" s="5"/>
      <c r="B3" s="4"/>
      <c r="C3" s="4"/>
      <c r="D3" s="4"/>
      <c r="E3" s="4"/>
      <c r="F3" s="4"/>
      <c r="G3" s="4"/>
      <c r="H3" s="4"/>
      <c r="I3" s="4"/>
      <c r="J3" s="4"/>
    </row>
    <row r="4" spans="1:10">
      <c r="A4" s="5"/>
      <c r="B4" s="4"/>
      <c r="C4" s="4"/>
      <c r="D4" s="4"/>
      <c r="E4" s="4"/>
      <c r="F4" s="4"/>
      <c r="G4" s="4"/>
      <c r="H4" s="4"/>
      <c r="I4" s="4"/>
      <c r="J4" s="4"/>
    </row>
  </sheetData>
  <phoneticPr fontId="4" type="noConversion"/>
  <dataValidations count="2">
    <dataValidation type="list" sqref="C2:C200" xr:uid="{00000000-0002-0000-0300-000000000000}">
      <formula1>"Coding,Art,Science,Writing,Music,Video,Presentation,Other"</formula1>
    </dataValidation>
    <dataValidation type="list" sqref="J2:J200" xr:uid="{00000000-0002-0000-0300-000001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5"/>
  <sheetViews>
    <sheetView workbookViewId="0">
      <selection activeCell="A4" sqref="A4:XFD4"/>
    </sheetView>
  </sheetViews>
  <sheetFormatPr defaultRowHeight="14.25"/>
  <cols>
    <col min="1" max="1" width="13" customWidth="1"/>
    <col min="2" max="2" width="10" customWidth="1"/>
    <col min="3" max="3" width="32" customWidth="1"/>
    <col min="4" max="4" width="24" customWidth="1"/>
    <col min="5" max="5" width="16" customWidth="1"/>
    <col min="6" max="6" width="50" customWidth="1"/>
    <col min="7" max="7" width="12" customWidth="1"/>
    <col min="8" max="8" width="22" customWidth="1"/>
    <col min="9" max="9" width="30" customWidth="1"/>
  </cols>
  <sheetData>
    <row r="1" spans="1:9" ht="15">
      <c r="A1" s="2" t="s">
        <v>16</v>
      </c>
      <c r="B1" s="2" t="s">
        <v>17</v>
      </c>
      <c r="C1" s="2" t="s">
        <v>39</v>
      </c>
      <c r="D1" s="2" t="s">
        <v>124</v>
      </c>
      <c r="E1" s="2" t="s">
        <v>18</v>
      </c>
      <c r="F1" s="2" t="s">
        <v>20</v>
      </c>
      <c r="G1" s="2" t="s">
        <v>40</v>
      </c>
      <c r="H1" s="2" t="s">
        <v>21</v>
      </c>
      <c r="I1" s="2" t="s">
        <v>22</v>
      </c>
    </row>
    <row r="2" spans="1:9">
      <c r="A2" s="5">
        <v>45908</v>
      </c>
      <c r="B2" s="4">
        <v>2025</v>
      </c>
      <c r="C2" s="4" t="s">
        <v>128</v>
      </c>
      <c r="D2" s="4" t="s">
        <v>130</v>
      </c>
      <c r="E2" s="4" t="s">
        <v>122</v>
      </c>
      <c r="F2" s="4"/>
      <c r="G2" s="4">
        <v>5</v>
      </c>
      <c r="H2" s="4" t="s">
        <v>129</v>
      </c>
      <c r="I2" s="4"/>
    </row>
    <row r="3" spans="1:9">
      <c r="A3" s="5">
        <v>45658</v>
      </c>
      <c r="B3" s="4">
        <v>2025</v>
      </c>
      <c r="C3" s="4" t="s">
        <v>123</v>
      </c>
      <c r="D3" s="4" t="s">
        <v>125</v>
      </c>
      <c r="E3" s="4" t="s">
        <v>122</v>
      </c>
      <c r="F3" s="4"/>
      <c r="G3" s="4">
        <v>5</v>
      </c>
      <c r="H3" s="4" t="s">
        <v>126</v>
      </c>
      <c r="I3" s="4"/>
    </row>
    <row r="4" spans="1:9">
      <c r="A4" s="5">
        <v>46027</v>
      </c>
      <c r="B4" s="4">
        <v>2026</v>
      </c>
      <c r="C4" s="4" t="s">
        <v>127</v>
      </c>
      <c r="D4" s="4" t="s">
        <v>121</v>
      </c>
      <c r="E4" s="4" t="s">
        <v>122</v>
      </c>
      <c r="F4" s="4"/>
      <c r="G4" s="4">
        <v>5</v>
      </c>
      <c r="H4" s="4" t="s">
        <v>41</v>
      </c>
      <c r="I4" s="4"/>
    </row>
    <row r="5" spans="1:9">
      <c r="A5" s="5">
        <v>46153</v>
      </c>
      <c r="B5" s="4">
        <v>2026</v>
      </c>
      <c r="C5" s="4" t="s">
        <v>119</v>
      </c>
      <c r="D5" s="4" t="s">
        <v>121</v>
      </c>
      <c r="E5" s="4" t="s">
        <v>122</v>
      </c>
      <c r="F5" s="4"/>
      <c r="G5" s="4">
        <v>5</v>
      </c>
      <c r="H5" s="4" t="s">
        <v>120</v>
      </c>
      <c r="I5" s="4"/>
    </row>
  </sheetData>
  <phoneticPr fontId="4" type="noConversion"/>
  <dataValidations count="1">
    <dataValidation type="list" sqref="G2:G5 G6:G200" xr:uid="{00000000-0002-0000-0400-000000000000}">
      <formula1>"1,2,3,4,5"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4"/>
  <sheetViews>
    <sheetView workbookViewId="0">
      <selection activeCell="G35" sqref="G35"/>
    </sheetView>
  </sheetViews>
  <sheetFormatPr defaultRowHeight="14.25"/>
  <cols>
    <col min="1" max="1" width="10" customWidth="1"/>
    <col min="2" max="4" width="12" customWidth="1"/>
    <col min="5" max="5" width="14" customWidth="1"/>
    <col min="6" max="6" width="16" customWidth="1"/>
    <col min="7" max="7" width="14" customWidth="1"/>
    <col min="8" max="8" width="55" customWidth="1"/>
  </cols>
  <sheetData>
    <row r="1" spans="1:8" ht="15">
      <c r="A1" s="2" t="s">
        <v>17</v>
      </c>
      <c r="B1" s="2" t="s">
        <v>31</v>
      </c>
      <c r="C1" s="2" t="s">
        <v>42</v>
      </c>
      <c r="D1" s="2" t="s">
        <v>25</v>
      </c>
      <c r="E1" s="2" t="s">
        <v>43</v>
      </c>
      <c r="F1" s="2" t="s">
        <v>44</v>
      </c>
      <c r="G1" s="2" t="s">
        <v>45</v>
      </c>
      <c r="H1" s="2" t="s">
        <v>46</v>
      </c>
    </row>
    <row r="2" spans="1:8">
      <c r="A2" s="4">
        <v>2024</v>
      </c>
      <c r="B2" s="4">
        <v>3</v>
      </c>
      <c r="C2" s="4">
        <v>3</v>
      </c>
      <c r="D2" s="4">
        <v>3</v>
      </c>
      <c r="E2" s="4">
        <v>2</v>
      </c>
      <c r="F2" s="4">
        <v>2</v>
      </c>
      <c r="G2" s="4">
        <v>4</v>
      </c>
      <c r="H2" s="4" t="s">
        <v>47</v>
      </c>
    </row>
    <row r="3" spans="1:8">
      <c r="A3" s="4">
        <v>2025</v>
      </c>
      <c r="B3" s="4">
        <v>4</v>
      </c>
      <c r="C3" s="4">
        <v>3</v>
      </c>
      <c r="D3" s="4">
        <v>4</v>
      </c>
      <c r="E3" s="4">
        <v>3</v>
      </c>
      <c r="F3" s="4">
        <v>3</v>
      </c>
      <c r="G3" s="4">
        <v>4</v>
      </c>
      <c r="H3" s="4" t="s">
        <v>48</v>
      </c>
    </row>
    <row r="4" spans="1:8">
      <c r="A4" s="4">
        <v>2026</v>
      </c>
      <c r="B4" s="4">
        <v>4</v>
      </c>
      <c r="C4" s="4">
        <v>4</v>
      </c>
      <c r="D4" s="4">
        <v>5</v>
      </c>
      <c r="E4" s="4">
        <v>4</v>
      </c>
      <c r="F4" s="4">
        <v>4</v>
      </c>
      <c r="G4" s="4">
        <v>5</v>
      </c>
      <c r="H4" s="4" t="s">
        <v>49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3"/>
  <sheetViews>
    <sheetView workbookViewId="0"/>
  </sheetViews>
  <sheetFormatPr defaultRowHeight="14.25"/>
  <cols>
    <col min="1" max="1" width="10" customWidth="1"/>
    <col min="2" max="2" width="45" customWidth="1"/>
    <col min="3" max="3" width="32" customWidth="1"/>
    <col min="4" max="4" width="42" customWidth="1"/>
    <col min="5" max="5" width="48" customWidth="1"/>
    <col min="6" max="6" width="55" customWidth="1"/>
    <col min="7" max="7" width="22" customWidth="1"/>
  </cols>
  <sheetData>
    <row r="1" spans="1:7" ht="15">
      <c r="A1" s="2" t="s">
        <v>17</v>
      </c>
      <c r="B1" s="2" t="s">
        <v>50</v>
      </c>
      <c r="C1" s="2" t="s">
        <v>51</v>
      </c>
      <c r="D1" s="2" t="s">
        <v>52</v>
      </c>
      <c r="E1" s="2" t="s">
        <v>53</v>
      </c>
      <c r="F1" s="2" t="s">
        <v>54</v>
      </c>
      <c r="G1" s="2" t="s">
        <v>55</v>
      </c>
    </row>
    <row r="2" spans="1:7" ht="28.5">
      <c r="A2" s="4">
        <v>2026</v>
      </c>
      <c r="B2" s="4" t="s">
        <v>56</v>
      </c>
      <c r="C2" s="4" t="s">
        <v>37</v>
      </c>
      <c r="D2" s="4" t="s">
        <v>57</v>
      </c>
      <c r="E2" s="4" t="s">
        <v>58</v>
      </c>
      <c r="F2" s="4" t="s">
        <v>59</v>
      </c>
      <c r="G2" s="4" t="s">
        <v>60</v>
      </c>
    </row>
    <row r="3" spans="1:7">
      <c r="A3" s="4">
        <v>2025</v>
      </c>
      <c r="B3" s="4" t="s">
        <v>61</v>
      </c>
      <c r="C3" s="4" t="s">
        <v>62</v>
      </c>
      <c r="D3" s="4" t="s">
        <v>63</v>
      </c>
      <c r="E3" s="4" t="s">
        <v>64</v>
      </c>
      <c r="F3" s="4" t="s">
        <v>65</v>
      </c>
      <c r="G3" s="4"/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7"/>
  <sheetViews>
    <sheetView workbookViewId="0"/>
  </sheetViews>
  <sheetFormatPr defaultRowHeight="14.25"/>
  <cols>
    <col min="1" max="1" width="22" customWidth="1"/>
    <col min="2" max="2" width="60" customWidth="1"/>
    <col min="3" max="3" width="42" customWidth="1"/>
  </cols>
  <sheetData>
    <row r="1" spans="1:3" ht="15">
      <c r="A1" s="2" t="s">
        <v>18</v>
      </c>
      <c r="B1" s="2" t="s">
        <v>66</v>
      </c>
      <c r="C1" s="2" t="s">
        <v>67</v>
      </c>
    </row>
    <row r="2" spans="1:3" ht="28.5">
      <c r="A2" s="4" t="s">
        <v>68</v>
      </c>
      <c r="B2" s="4" t="s">
        <v>69</v>
      </c>
      <c r="C2" s="4" t="s">
        <v>70</v>
      </c>
    </row>
    <row r="3" spans="1:3">
      <c r="A3" s="4" t="s">
        <v>71</v>
      </c>
      <c r="B3" s="4" t="s">
        <v>72</v>
      </c>
      <c r="C3" s="4" t="s">
        <v>73</v>
      </c>
    </row>
    <row r="4" spans="1:3">
      <c r="A4" s="4" t="s">
        <v>74</v>
      </c>
      <c r="B4" s="4" t="s">
        <v>75</v>
      </c>
      <c r="C4" s="4" t="s">
        <v>76</v>
      </c>
    </row>
    <row r="5" spans="1:3">
      <c r="A5" s="4" t="s">
        <v>23</v>
      </c>
      <c r="B5" s="4" t="s">
        <v>77</v>
      </c>
      <c r="C5" s="4" t="s">
        <v>78</v>
      </c>
    </row>
    <row r="6" spans="1:3">
      <c r="A6" s="4" t="s">
        <v>24</v>
      </c>
      <c r="B6" s="4" t="s">
        <v>79</v>
      </c>
      <c r="C6" s="4" t="s">
        <v>80</v>
      </c>
    </row>
    <row r="7" spans="1:3">
      <c r="A7" s="4" t="s">
        <v>40</v>
      </c>
      <c r="B7" s="4" t="s">
        <v>81</v>
      </c>
      <c r="C7" s="4" t="s">
        <v>82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9"/>
  <sheetViews>
    <sheetView workbookViewId="0">
      <selection activeCell="B7" sqref="B7"/>
    </sheetView>
  </sheetViews>
  <sheetFormatPr defaultRowHeight="14.25"/>
  <cols>
    <col min="1" max="1" width="28" customWidth="1"/>
    <col min="2" max="2" width="22" customWidth="1"/>
  </cols>
  <sheetData>
    <row r="1" spans="1:6" ht="20.25">
      <c r="A1" s="9" t="s">
        <v>83</v>
      </c>
      <c r="B1" s="10"/>
      <c r="C1" s="10"/>
      <c r="D1" s="10"/>
      <c r="E1" s="10"/>
      <c r="F1" s="10"/>
    </row>
    <row r="3" spans="1:6" ht="15">
      <c r="A3" s="1" t="s">
        <v>84</v>
      </c>
      <c r="B3" s="1" t="s">
        <v>85</v>
      </c>
    </row>
    <row r="4" spans="1:6">
      <c r="A4" s="3" t="s">
        <v>86</v>
      </c>
      <c r="B4" s="3">
        <f>COUNTA(LearningTimeline!D2:D200)</f>
        <v>5</v>
      </c>
    </row>
    <row r="5" spans="1:6">
      <c r="A5" s="3" t="s">
        <v>87</v>
      </c>
      <c r="B5" s="3">
        <f>COUNTIF(LearningTimeline!I2:I200,"Yes")</f>
        <v>5</v>
      </c>
    </row>
    <row r="6" spans="1:6">
      <c r="A6" s="3" t="s">
        <v>88</v>
      </c>
      <c r="B6" s="3">
        <f>COUNTA(Awards!D3:D200)</f>
        <v>3</v>
      </c>
    </row>
    <row r="7" spans="1:6">
      <c r="A7" s="3" t="s">
        <v>89</v>
      </c>
      <c r="B7" s="3">
        <f>COUNTA(Projects!D2:D200)</f>
        <v>1</v>
      </c>
    </row>
    <row r="8" spans="1:6">
      <c r="A8" s="3" t="s">
        <v>90</v>
      </c>
      <c r="B8" s="3">
        <f>COUNTA(ReadingLog!C5:C200)</f>
        <v>1</v>
      </c>
    </row>
    <row r="9" spans="1:6">
      <c r="A9" s="3" t="s">
        <v>91</v>
      </c>
      <c r="B9" s="3">
        <f>IFERROR(AVERAGE(ReadingLog!G5:G200),0)</f>
        <v>5</v>
      </c>
    </row>
  </sheetData>
  <mergeCells count="1">
    <mergeCell ref="A1:F1"/>
  </mergeCells>
  <phoneticPr fontId="4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Profile</vt:lpstr>
      <vt:lpstr>LearningTimeline</vt:lpstr>
      <vt:lpstr>Awards</vt:lpstr>
      <vt:lpstr>Projects</vt:lpstr>
      <vt:lpstr>ReadingLog</vt:lpstr>
      <vt:lpstr>SkillGrowth</vt:lpstr>
      <vt:lpstr>YearlyReview</vt:lpstr>
      <vt:lpstr>Settings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YuHui Hsu</cp:lastModifiedBy>
  <dcterms:modified xsi:type="dcterms:W3CDTF">2026-06-20T12:54:03Z</dcterms:modified>
</cp:coreProperties>
</file>